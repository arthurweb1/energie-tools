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" sheetId="1" state="visible" r:id="rId3"/>
    <sheet name="Speicher-Rechner" sheetId="2" state="visible" r:id="rId4"/>
    <sheet name="Kunden-Check" sheetId="3" state="visible" r:id="rId5"/>
    <sheet name="Stromvergleich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<sst xmlns="http://schemas.openxmlformats.org/spreadsheetml/2006/main" count="154" uniqueCount="131">
  <si>
    <t xml:space="preserve">Energie-Tools: Speicher/VPP, Industriekunden, Stromvergleich</t>
  </si>
  <si>
    <t xml:space="preserve">Zweck</t>
  </si>
  <si>
    <t xml:space="preserve">Einfache Rechen- und Checklisten-Tools zu den Konzepten Storage-as-a-Service, VPP und Energieplattform für Industriekunden.</t>
  </si>
  <si>
    <t xml:space="preserve">Blaue Schrift</t>
  </si>
  <si>
    <t xml:space="preserve">Eingabe. Hier darfst du Werte ändern.</t>
  </si>
  <si>
    <t xml:space="preserve">Gelbe Füllung</t>
  </si>
  <si>
    <t xml:space="preserve">Wichtigste Annahmen. Zuerst mit echten Angeboten und aktuellen Marktdaten ersetzen.</t>
  </si>
  <si>
    <t xml:space="preserve">Schwarze Schrift</t>
  </si>
  <si>
    <t xml:space="preserve">Formel. Nicht überschreiben.</t>
  </si>
  <si>
    <t xml:space="preserve">Wichtig</t>
  </si>
  <si>
    <t xml:space="preserve">Alle Zahlen sind Beispielannahmen von mir, keine geprüften Marktdaten. Vor einem Einsatz im Gespräch mit Kunden oder Investoren mit aktuellen Quellen belegen, z. B. FCR-Ergebnisse bei regelleistung.net, Day-Ahead-Preise bei SMARD oder EPEX, Speicherpreise aus echten Herstellerangeboten.</t>
  </si>
  <si>
    <t xml:space="preserve">Blatt 1</t>
  </si>
  <si>
    <t xml:space="preserve">Speicher-Rechner: Erlöse aus FCR, Day-Ahead und Lastspitzenkappung, Kosten, Amortisation, Kapitalwert, IRR.</t>
  </si>
  <si>
    <t xml:space="preserve">Blatt 2</t>
  </si>
  <si>
    <t xml:space="preserve">Kunden-Check: Bewertung, wie gut ein Industriekunde für Speicher passt.</t>
  </si>
  <si>
    <t xml:space="preserve">Blatt 3</t>
  </si>
  <si>
    <t xml:space="preserve">Stromvergleich: Jahreskosten von Angeboten gegenüber dem aktuellen Vertrag.</t>
  </si>
  <si>
    <t xml:space="preserve">Stand</t>
  </si>
  <si>
    <t xml:space="preserve">Das sind Konzept-Werkzeuge, keine Betriebserfahrung. Im Call so benennen.</t>
  </si>
  <si>
    <t xml:space="preserve">Speicher- und VPP-Rechner (Beispiel: 1 MWh, FCR + Day-Ahead + Lastspitzenkappung)</t>
  </si>
  <si>
    <t xml:space="preserve">Vereinfachtes Modell: ein Jahr hochgerechnet mit jährlicher Degradation. Die Erlösquellen teilen sich dieselbe Batterie, daher die Anteile beachten.</t>
  </si>
  <si>
    <t xml:space="preserve">Eingaben</t>
  </si>
  <si>
    <t xml:space="preserve">Wert</t>
  </si>
  <si>
    <t xml:space="preserve">Einheit / Hinweis</t>
  </si>
  <si>
    <t xml:space="preserve">Speicherkapazität</t>
  </si>
  <si>
    <t xml:space="preserve">MWh</t>
  </si>
  <si>
    <t xml:space="preserve">Speicherleistung</t>
  </si>
  <si>
    <t xml:space="preserve">MW (0,5 MW bei 1 MWh = 2-Stunden-System)</t>
  </si>
  <si>
    <t xml:space="preserve">Round-Trip-Wirkungsgrad</t>
  </si>
  <si>
    <t xml:space="preserve">Anteil, Annahme</t>
  </si>
  <si>
    <t xml:space="preserve">Investitionskosten installiert</t>
  </si>
  <si>
    <t xml:space="preserve">€/kWh, Annahme, mit echten Angeboten ersetzen</t>
  </si>
  <si>
    <t xml:space="preserve">Lebensdauer</t>
  </si>
  <si>
    <t xml:space="preserve">Jahre, maximal 15</t>
  </si>
  <si>
    <t xml:space="preserve">Erlös-Degradation pro Jahr</t>
  </si>
  <si>
    <t xml:space="preserve">Opex pro Jahr</t>
  </si>
  <si>
    <t xml:space="preserve">Anteil der Investition, Annahme</t>
  </si>
  <si>
    <t xml:space="preserve">Aggregator-/VPP-Marge</t>
  </si>
  <si>
    <t xml:space="preserve">Anteil der Markterlöse (FCR, Day-Ahead), Annahme</t>
  </si>
  <si>
    <t xml:space="preserve">Diskontsatz</t>
  </si>
  <si>
    <t xml:space="preserve">Markt: FCR</t>
  </si>
  <si>
    <t xml:space="preserve">Anteil Leistung für FCR</t>
  </si>
  <si>
    <t xml:space="preserve">Anteil der Speicherleistung</t>
  </si>
  <si>
    <t xml:space="preserve">FCR-Preis</t>
  </si>
  <si>
    <t xml:space="preserve">€/MW/h, Annahme, aktuelle Ergebnisse bei regelleistung.net prüfen</t>
  </si>
  <si>
    <t xml:space="preserve">Verfügbarkeit</t>
  </si>
  <si>
    <t xml:space="preserve">Anteil der Stunden im Jahr</t>
  </si>
  <si>
    <t xml:space="preserve">Markt: Day-Ahead</t>
  </si>
  <si>
    <t xml:space="preserve">Anteil Kapazität für Day-Ahead</t>
  </si>
  <si>
    <t xml:space="preserve">Anteil der Speicherkapazität</t>
  </si>
  <si>
    <t xml:space="preserve">Durchschnittlicher Verkaufspreis</t>
  </si>
  <si>
    <t xml:space="preserve">€/MWh, Annahme, aus Preisverlauf der Spitzenstunden ableiten</t>
  </si>
  <si>
    <t xml:space="preserve">Durchschnittlicher Einkaufspreis</t>
  </si>
  <si>
    <t xml:space="preserve">€/MWh, Annahme, aus Preisverlauf der günstigen Stunden ableiten</t>
  </si>
  <si>
    <t xml:space="preserve">Zyklen pro Jahr</t>
  </si>
  <si>
    <t xml:space="preserve">Vollzyklen, Annahme</t>
  </si>
  <si>
    <t xml:space="preserve">Lastspitzenkappung beim Kunden (optional)</t>
  </si>
  <si>
    <t xml:space="preserve">Gekappte Lastspitze</t>
  </si>
  <si>
    <t xml:space="preserve">kW, aus Lastgang des Kunden ablesen</t>
  </si>
  <si>
    <t xml:space="preserve">Leistungspreis</t>
  </si>
  <si>
    <t xml:space="preserve">€/kW/Jahr, aus Netzentgeltrechnung des Kunden</t>
  </si>
  <si>
    <t xml:space="preserve">Ergebnis (Jahr 1)</t>
  </si>
  <si>
    <t xml:space="preserve">Investition</t>
  </si>
  <si>
    <t xml:space="preserve">€</t>
  </si>
  <si>
    <t xml:space="preserve">Erlös FCR</t>
  </si>
  <si>
    <t xml:space="preserve">€ pro Jahr</t>
  </si>
  <si>
    <t xml:space="preserve">Erlös Day-Ahead</t>
  </si>
  <si>
    <t xml:space="preserve">€ pro Jahr, Einkauf durch Wirkungsgrad geteilt</t>
  </si>
  <si>
    <t xml:space="preserve">Erlös Lastspitzenkappung</t>
  </si>
  <si>
    <t xml:space="preserve">Brutto-Erlös gesamt</t>
  </si>
  <si>
    <t xml:space="preserve">Aggregator-Marge</t>
  </si>
  <si>
    <t xml:space="preserve">Opex</t>
  </si>
  <si>
    <t xml:space="preserve">Netto-Ergebnis Jahr 1</t>
  </si>
  <si>
    <t xml:space="preserve">Einfache Amortisation</t>
  </si>
  <si>
    <t xml:space="preserve">Jahre</t>
  </si>
  <si>
    <t xml:space="preserve">Kapitalwert (NPV)</t>
  </si>
  <si>
    <t xml:space="preserve">€ über die Lebensdauer, diskontiert</t>
  </si>
  <si>
    <t xml:space="preserve">Interner Zinsfuß (IRR)</t>
  </si>
  <si>
    <t xml:space="preserve">Anteil pro Jahr</t>
  </si>
  <si>
    <t xml:space="preserve">Plausibilitätsprüfung Anteile</t>
  </si>
  <si>
    <t xml:space="preserve">Prüft die Eingaben</t>
  </si>
  <si>
    <t xml:space="preserve">Cashflow über die Lebensdauer</t>
  </si>
  <si>
    <t xml:space="preserve">Jahr</t>
  </si>
  <si>
    <t xml:space="preserve">Netto-Cashflow (€)</t>
  </si>
  <si>
    <t xml:space="preserve">Diskontiert (€)</t>
  </si>
  <si>
    <t xml:space="preserve">Kumuliert (€)</t>
  </si>
  <si>
    <t xml:space="preserve">Kunden-Check: Passt ein Industriekunde für Speicher / VPP?</t>
  </si>
  <si>
    <t xml:space="preserve">Antworten mit Ja, Nein oder Unklar. Die Beispielwerte zeigen das Format, bitte überschreiben.</t>
  </si>
  <si>
    <t xml:space="preserve">Kunde:</t>
  </si>
  <si>
    <t xml:space="preserve">Beispiel GmbH (Spritzguss, Region Heidelberg)</t>
  </si>
  <si>
    <t xml:space="preserve">Nr.</t>
  </si>
  <si>
    <t xml:space="preserve">Kriterium</t>
  </si>
  <si>
    <t xml:space="preserve">Antwort</t>
  </si>
  <si>
    <t xml:space="preserve">Gewicht</t>
  </si>
  <si>
    <t xml:space="preserve">Punkte</t>
  </si>
  <si>
    <t xml:space="preserve">Jahresstromverbrauch über 500 MWh</t>
  </si>
  <si>
    <t xml:space="preserve">Ja</t>
  </si>
  <si>
    <t xml:space="preserve">Lastspitzen deutlich über Grundlast, Leistungspreis spürbar</t>
  </si>
  <si>
    <t xml:space="preserve">Registrierende Leistungsmessung (RLM) vorhanden</t>
  </si>
  <si>
    <t xml:space="preserve">Netzanschlussreserve vorhanden oder Ausbau möglich</t>
  </si>
  <si>
    <t xml:space="preserve">Unklar</t>
  </si>
  <si>
    <t xml:space="preserve">Eigene PV vorhanden oder geplant</t>
  </si>
  <si>
    <t xml:space="preserve">Nein</t>
  </si>
  <si>
    <t xml:space="preserve">Stellfläche oder Dachfläche für Container</t>
  </si>
  <si>
    <t xml:space="preserve">Entscheider erreichbar</t>
  </si>
  <si>
    <t xml:space="preserve">Investitions- oder Mietbereitschaft (Storage-as-a-Service)</t>
  </si>
  <si>
    <t xml:space="preserve">Eigentum oder Mietvertrag des Standorts geklärt</t>
  </si>
  <si>
    <t xml:space="preserve">Energiekosten sind hoher Kostenanteil</t>
  </si>
  <si>
    <t xml:space="preserve">Erreichte Punkte</t>
  </si>
  <si>
    <t xml:space="preserve">Maximale Punkte</t>
  </si>
  <si>
    <t xml:space="preserve">Passung</t>
  </si>
  <si>
    <t xml:space="preserve">Einstufung</t>
  </si>
  <si>
    <t xml:space="preserve">Schwellen: ab 70 % heißer Lead, ab 40 % weiter qualifizieren. Das sind meine Startwerte, bitte mit echten Gesprächen anpassen.</t>
  </si>
  <si>
    <t xml:space="preserve">Stromvergleich: Angebote gegen aktuellen Vertrag</t>
  </si>
  <si>
    <t xml:space="preserve">Nur Beschaffungsvergleich ohne Netzentgelte, Steuern und Umlagen. Alle Angebote auf derselben Basis eingeben. Beispielwerte bitte überschreiben.</t>
  </si>
  <si>
    <t xml:space="preserve">Jahresverbrauch (MWh)</t>
  </si>
  <si>
    <t xml:space="preserve">Anbieter</t>
  </si>
  <si>
    <t xml:space="preserve">Arbeitspreis (ct/kWh)</t>
  </si>
  <si>
    <t xml:space="preserve">Grundpreis (€/Jahr)</t>
  </si>
  <si>
    <t xml:space="preserve">Laufzeit (Monate)</t>
  </si>
  <si>
    <t xml:space="preserve">Jahreskosten (€)</t>
  </si>
  <si>
    <t xml:space="preserve">Ersparnis vs. aktuell (€)</t>
  </si>
  <si>
    <t xml:space="preserve">Ersparnis (%)</t>
  </si>
  <si>
    <t xml:space="preserve">Aktueller Vertrag</t>
  </si>
  <si>
    <t xml:space="preserve">-</t>
  </si>
  <si>
    <t xml:space="preserve">Angebot A</t>
  </si>
  <si>
    <t xml:space="preserve">Angebot B</t>
  </si>
  <si>
    <t xml:space="preserve">Angebot C</t>
  </si>
  <si>
    <t xml:space="preserve">Günstigstes Angebot</t>
  </si>
  <si>
    <t xml:space="preserve">Ersparnis pro Jahr (€)</t>
  </si>
  <si>
    <t xml:space="preserve">Hinweis: Längere Laufzeit bindet den Kunden. Preisentwicklung und Kündigungsfristen separat prüfen.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</si>
</sst>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"/>
    <numFmt numFmtId="166" formatCode="0.0%"/>
    <numFmt numFmtId="167" formatCode="#,##0;\(#,##0\);\-"/>
    <numFmt numFmtId="168" formatCode="0"/>
    <numFmt numFmtId="169" formatCode="#,##0.0;\(#,##0.0\);\-"/>
    <numFmt numFmtId="170" formatCode="#,##0"/>
    <numFmt numFmtId="171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CC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1" t="s">
        <v>0</v>
      </c>
    </row>
    <row r="3" customFormat="false" ht="31.5" hidden="false" customHeight="true" outlineLevel="0" collapsed="false">
      <c r="A3" s="2" t="s">
        <v>1</v>
      </c>
      <c r="B3" s="3" t="s">
        <v>2</v>
      </c>
    </row>
    <row r="4" customFormat="false" ht="18" hidden="false" customHeight="true" outlineLevel="0" collapsed="false">
      <c r="A4" s="2" t="s">
        <v>3</v>
      </c>
      <c r="B4" s="3" t="s">
        <v>4</v>
      </c>
    </row>
    <row r="5" customFormat="false" ht="18" hidden="false" customHeight="true" outlineLevel="0" collapsed="false">
      <c r="A5" s="2" t="s">
        <v>5</v>
      </c>
      <c r="B5" s="3" t="s">
        <v>6</v>
      </c>
    </row>
    <row r="6" customFormat="false" ht="18" hidden="false" customHeight="true" outlineLevel="0" collapsed="false">
      <c r="A6" s="2" t="s">
        <v>7</v>
      </c>
      <c r="B6" s="3" t="s">
        <v>8</v>
      </c>
    </row>
    <row r="7" customFormat="false" ht="57.75" hidden="false" customHeight="true" outlineLevel="0" collapsed="false">
      <c r="A7" s="2" t="s">
        <v>9</v>
      </c>
      <c r="B7" s="3" t="s">
        <v>10</v>
      </c>
    </row>
    <row r="8" customFormat="false" ht="31.5" hidden="false" customHeight="true" outlineLevel="0" collapsed="false">
      <c r="A8" s="2" t="s">
        <v>11</v>
      </c>
      <c r="B8" s="3" t="s">
        <v>12</v>
      </c>
    </row>
    <row r="9" customFormat="false" ht="18" hidden="false" customHeight="true" outlineLevel="0" collapsed="false">
      <c r="A9" s="2" t="s">
        <v>13</v>
      </c>
      <c r="B9" s="3" t="s">
        <v>14</v>
      </c>
    </row>
    <row r="10" customFormat="false" ht="18" hidden="false" customHeight="true" outlineLevel="0" collapsed="false">
      <c r="A10" s="2" t="s">
        <v>15</v>
      </c>
      <c r="B10" s="3" t="s">
        <v>16</v>
      </c>
    </row>
    <row r="11" customFormat="false" ht="18" hidden="false" customHeight="true" outlineLevel="0" collapsed="false">
      <c r="A11" s="2" t="s">
        <v>17</v>
      </c>
      <c r="B11" s="3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0"/>
    <col collapsed="false" customWidth="true" hidden="false" outlineLevel="0" max="3" min="3" style="0" width="62"/>
    <col collapsed="false" customWidth="true" hidden="false" outlineLevel="0" max="4" min="4" style="0" width="18"/>
  </cols>
  <sheetData>
    <row r="1" customFormat="false" ht="17.35" hidden="false" customHeight="false" outlineLevel="0" collapsed="false">
      <c r="A1" s="1" t="s">
        <v>19</v>
      </c>
    </row>
    <row r="2" customFormat="false" ht="15" hidden="false" customHeight="false" outlineLevel="0" collapsed="false">
      <c r="A2" s="4" t="s">
        <v>20</v>
      </c>
    </row>
    <row r="4" customFormat="false" ht="15" hidden="false" customHeight="false" outlineLevel="0" collapsed="false">
      <c r="A4" s="5" t="s">
        <v>21</v>
      </c>
      <c r="B4" s="5" t="s">
        <v>22</v>
      </c>
      <c r="C4" s="5" t="s">
        <v>23</v>
      </c>
    </row>
    <row r="5" customFormat="false" ht="15" hidden="false" customHeight="false" outlineLevel="0" collapsed="false">
      <c r="A5" s="6" t="s">
        <v>24</v>
      </c>
      <c r="B5" s="7" t="n">
        <v>1</v>
      </c>
      <c r="C5" s="4" t="s">
        <v>25</v>
      </c>
    </row>
    <row r="6" customFormat="false" ht="15" hidden="false" customHeight="false" outlineLevel="0" collapsed="false">
      <c r="A6" s="6" t="s">
        <v>26</v>
      </c>
      <c r="B6" s="7" t="n">
        <v>0.5</v>
      </c>
      <c r="C6" s="4" t="s">
        <v>27</v>
      </c>
    </row>
    <row r="7" customFormat="false" ht="15" hidden="false" customHeight="false" outlineLevel="0" collapsed="false">
      <c r="A7" s="6" t="s">
        <v>28</v>
      </c>
      <c r="B7" s="8" t="n">
        <v>0.88</v>
      </c>
      <c r="C7" s="4" t="s">
        <v>29</v>
      </c>
    </row>
    <row r="8" customFormat="false" ht="15" hidden="false" customHeight="false" outlineLevel="0" collapsed="false">
      <c r="A8" s="6" t="s">
        <v>30</v>
      </c>
      <c r="B8" s="9" t="n">
        <v>450</v>
      </c>
      <c r="C8" s="4" t="s">
        <v>31</v>
      </c>
    </row>
    <row r="9" customFormat="false" ht="15" hidden="false" customHeight="false" outlineLevel="0" collapsed="false">
      <c r="A9" s="6" t="s">
        <v>32</v>
      </c>
      <c r="B9" s="10" t="n">
        <v>12</v>
      </c>
      <c r="C9" s="4" t="s">
        <v>33</v>
      </c>
    </row>
    <row r="10" customFormat="false" ht="15" hidden="false" customHeight="false" outlineLevel="0" collapsed="false">
      <c r="A10" s="6" t="s">
        <v>34</v>
      </c>
      <c r="B10" s="8" t="n">
        <v>0.02</v>
      </c>
      <c r="C10" s="4" t="s">
        <v>29</v>
      </c>
    </row>
    <row r="11" customFormat="false" ht="15" hidden="false" customHeight="false" outlineLevel="0" collapsed="false">
      <c r="A11" s="6" t="s">
        <v>35</v>
      </c>
      <c r="B11" s="8" t="n">
        <v>0.02</v>
      </c>
      <c r="C11" s="4" t="s">
        <v>36</v>
      </c>
    </row>
    <row r="12" customFormat="false" ht="15" hidden="false" customHeight="false" outlineLevel="0" collapsed="false">
      <c r="A12" s="6" t="s">
        <v>37</v>
      </c>
      <c r="B12" s="8" t="n">
        <v>0.15</v>
      </c>
      <c r="C12" s="4" t="s">
        <v>38</v>
      </c>
    </row>
    <row r="13" customFormat="false" ht="15" hidden="false" customHeight="false" outlineLevel="0" collapsed="false">
      <c r="A13" s="6" t="s">
        <v>39</v>
      </c>
      <c r="B13" s="8" t="n">
        <v>0.07</v>
      </c>
      <c r="C13" s="4" t="s">
        <v>29</v>
      </c>
    </row>
    <row r="15" customFormat="false" ht="15" hidden="false" customHeight="false" outlineLevel="0" collapsed="false">
      <c r="A15" s="5" t="s">
        <v>40</v>
      </c>
      <c r="B15" s="5" t="s">
        <v>22</v>
      </c>
      <c r="C15" s="5" t="s">
        <v>23</v>
      </c>
    </row>
    <row r="16" customFormat="false" ht="15" hidden="false" customHeight="false" outlineLevel="0" collapsed="false">
      <c r="A16" s="6" t="s">
        <v>41</v>
      </c>
      <c r="B16" s="8" t="n">
        <v>0.3</v>
      </c>
      <c r="C16" s="4" t="s">
        <v>42</v>
      </c>
    </row>
    <row r="17" customFormat="false" ht="15" hidden="false" customHeight="false" outlineLevel="0" collapsed="false">
      <c r="A17" s="6" t="s">
        <v>43</v>
      </c>
      <c r="B17" s="11" t="n">
        <v>10</v>
      </c>
      <c r="C17" s="4" t="s">
        <v>44</v>
      </c>
    </row>
    <row r="18" customFormat="false" ht="15" hidden="false" customHeight="false" outlineLevel="0" collapsed="false">
      <c r="A18" s="6" t="s">
        <v>45</v>
      </c>
      <c r="B18" s="8" t="n">
        <v>0.9</v>
      </c>
      <c r="C18" s="4" t="s">
        <v>46</v>
      </c>
    </row>
    <row r="20" customFormat="false" ht="15" hidden="false" customHeight="false" outlineLevel="0" collapsed="false">
      <c r="A20" s="5" t="s">
        <v>47</v>
      </c>
      <c r="B20" s="5" t="s">
        <v>22</v>
      </c>
      <c r="C20" s="5" t="s">
        <v>23</v>
      </c>
    </row>
    <row r="21" customFormat="false" ht="15" hidden="false" customHeight="false" outlineLevel="0" collapsed="false">
      <c r="A21" s="6" t="s">
        <v>48</v>
      </c>
      <c r="B21" s="8" t="n">
        <v>0.7</v>
      </c>
      <c r="C21" s="4" t="s">
        <v>49</v>
      </c>
    </row>
    <row r="22" customFormat="false" ht="15" hidden="false" customHeight="false" outlineLevel="0" collapsed="false">
      <c r="A22" s="6" t="s">
        <v>50</v>
      </c>
      <c r="B22" s="11" t="n">
        <v>120</v>
      </c>
      <c r="C22" s="4" t="s">
        <v>51</v>
      </c>
    </row>
    <row r="23" customFormat="false" ht="15" hidden="false" customHeight="false" outlineLevel="0" collapsed="false">
      <c r="A23" s="6" t="s">
        <v>52</v>
      </c>
      <c r="B23" s="11" t="n">
        <v>45</v>
      </c>
      <c r="C23" s="4" t="s">
        <v>53</v>
      </c>
    </row>
    <row r="24" customFormat="false" ht="15" hidden="false" customHeight="false" outlineLevel="0" collapsed="false">
      <c r="A24" s="6" t="s">
        <v>54</v>
      </c>
      <c r="B24" s="10" t="n">
        <v>350</v>
      </c>
      <c r="C24" s="4" t="s">
        <v>55</v>
      </c>
    </row>
    <row r="26" customFormat="false" ht="15" hidden="false" customHeight="false" outlineLevel="0" collapsed="false">
      <c r="A26" s="5" t="s">
        <v>56</v>
      </c>
      <c r="B26" s="5" t="s">
        <v>22</v>
      </c>
      <c r="C26" s="5" t="s">
        <v>23</v>
      </c>
    </row>
    <row r="27" customFormat="false" ht="15" hidden="false" customHeight="false" outlineLevel="0" collapsed="false">
      <c r="A27" s="6" t="s">
        <v>57</v>
      </c>
      <c r="B27" s="12" t="n">
        <v>300</v>
      </c>
      <c r="C27" s="4" t="s">
        <v>58</v>
      </c>
    </row>
    <row r="28" customFormat="false" ht="15" hidden="false" customHeight="false" outlineLevel="0" collapsed="false">
      <c r="A28" s="6" t="s">
        <v>59</v>
      </c>
      <c r="B28" s="9" t="n">
        <v>120</v>
      </c>
      <c r="C28" s="4" t="s">
        <v>60</v>
      </c>
    </row>
    <row r="30" customFormat="false" ht="15" hidden="false" customHeight="false" outlineLevel="0" collapsed="false">
      <c r="A30" s="5" t="s">
        <v>61</v>
      </c>
      <c r="B30" s="5" t="s">
        <v>22</v>
      </c>
      <c r="C30" s="5" t="s">
        <v>23</v>
      </c>
    </row>
    <row r="31" customFormat="false" ht="15" hidden="false" customHeight="false" outlineLevel="0" collapsed="false">
      <c r="A31" s="6" t="s">
        <v>62</v>
      </c>
      <c r="B31" s="13" t="n">
        <f aca="false">B5*1000*B8</f>
        <v>450000</v>
      </c>
      <c r="C31" s="4" t="s">
        <v>63</v>
      </c>
    </row>
    <row r="32" customFormat="false" ht="15" hidden="false" customHeight="false" outlineLevel="0" collapsed="false">
      <c r="A32" s="6" t="s">
        <v>64</v>
      </c>
      <c r="B32" s="13" t="n">
        <f aca="false">B6*B16*B17*8760*B18</f>
        <v>11826</v>
      </c>
      <c r="C32" s="4" t="s">
        <v>65</v>
      </c>
    </row>
    <row r="33" customFormat="false" ht="15" hidden="false" customHeight="false" outlineLevel="0" collapsed="false">
      <c r="A33" s="6" t="s">
        <v>66</v>
      </c>
      <c r="B33" s="13" t="n">
        <f aca="false">B5*B21*B24*(B22-B23/B7)</f>
        <v>16871.5909090909</v>
      </c>
      <c r="C33" s="4" t="s">
        <v>67</v>
      </c>
    </row>
    <row r="34" customFormat="false" ht="15" hidden="false" customHeight="false" outlineLevel="0" collapsed="false">
      <c r="A34" s="6" t="s">
        <v>68</v>
      </c>
      <c r="B34" s="13" t="n">
        <f aca="false">B27*B28</f>
        <v>36000</v>
      </c>
      <c r="C34" s="4" t="s">
        <v>65</v>
      </c>
    </row>
    <row r="35" customFormat="false" ht="15" hidden="false" customHeight="false" outlineLevel="0" collapsed="false">
      <c r="A35" s="2" t="s">
        <v>69</v>
      </c>
      <c r="B35" s="14" t="n">
        <f aca="false">SUM(B32:B34)</f>
        <v>64697.5909090909</v>
      </c>
      <c r="C35" s="4" t="s">
        <v>65</v>
      </c>
    </row>
    <row r="36" customFormat="false" ht="15" hidden="false" customHeight="false" outlineLevel="0" collapsed="false">
      <c r="A36" s="6" t="s">
        <v>70</v>
      </c>
      <c r="B36" s="13" t="n">
        <f aca="false">-(B32+B33)*B12</f>
        <v>-4304.63863636364</v>
      </c>
      <c r="C36" s="4" t="s">
        <v>65</v>
      </c>
    </row>
    <row r="37" customFormat="false" ht="15" hidden="false" customHeight="false" outlineLevel="0" collapsed="false">
      <c r="A37" s="6" t="s">
        <v>71</v>
      </c>
      <c r="B37" s="13" t="n">
        <f aca="false">-B31*B11</f>
        <v>-9000</v>
      </c>
      <c r="C37" s="4" t="s">
        <v>65</v>
      </c>
    </row>
    <row r="38" customFormat="false" ht="15" hidden="false" customHeight="false" outlineLevel="0" collapsed="false">
      <c r="A38" s="2" t="s">
        <v>72</v>
      </c>
      <c r="B38" s="14" t="n">
        <f aca="false">B35+B36+B37</f>
        <v>51392.9522727273</v>
      </c>
      <c r="C38" s="4" t="s">
        <v>65</v>
      </c>
    </row>
    <row r="39" customFormat="false" ht="15" hidden="false" customHeight="false" outlineLevel="0" collapsed="false">
      <c r="A39" s="2" t="s">
        <v>73</v>
      </c>
      <c r="B39" s="15" t="n">
        <f aca="false">IF(B38&gt;0,B31/B38,"nicht amortisiert")</f>
        <v>8.75606440377238</v>
      </c>
      <c r="C39" s="4" t="s">
        <v>74</v>
      </c>
    </row>
    <row r="40" customFormat="false" ht="15" hidden="false" customHeight="false" outlineLevel="0" collapsed="false">
      <c r="A40" s="2" t="s">
        <v>75</v>
      </c>
      <c r="B40" s="14" t="n">
        <f aca="false">SUM(C46:C61)</f>
        <v>-84255.0452684233</v>
      </c>
      <c r="C40" s="4" t="s">
        <v>76</v>
      </c>
    </row>
    <row r="41" customFormat="false" ht="15" hidden="false" customHeight="false" outlineLevel="0" collapsed="false">
      <c r="A41" s="2" t="s">
        <v>77</v>
      </c>
      <c r="B41" s="16" t="n">
        <f aca="false">IFERROR(IRR(B46:B61),"n/a")</f>
        <v>0.0313582622903071</v>
      </c>
      <c r="C41" s="4" t="s">
        <v>78</v>
      </c>
    </row>
    <row r="42" customFormat="false" ht="15" hidden="false" customHeight="false" outlineLevel="0" collapsed="false">
      <c r="A42" s="6" t="s">
        <v>79</v>
      </c>
      <c r="B42" s="6" t="str">
        <f aca="false">IF(B16&gt;1,"Achtung: FCR-Anteil über 100 %",IF(B21&gt;1,"Achtung: Day-Ahead-Anteil über 100 %","OK"))</f>
        <v>OK</v>
      </c>
      <c r="C42" s="4" t="s">
        <v>80</v>
      </c>
    </row>
    <row r="44" customFormat="false" ht="15" hidden="false" customHeight="false" outlineLevel="0" collapsed="false">
      <c r="A44" s="2" t="s">
        <v>81</v>
      </c>
    </row>
    <row r="45" customFormat="false" ht="15" hidden="false" customHeight="false" outlineLevel="0" collapsed="false">
      <c r="A45" s="5" t="s">
        <v>82</v>
      </c>
      <c r="B45" s="5" t="s">
        <v>83</v>
      </c>
      <c r="C45" s="5" t="s">
        <v>84</v>
      </c>
      <c r="D45" s="5" t="s">
        <v>85</v>
      </c>
    </row>
    <row r="46" customFormat="false" ht="15" hidden="false" customHeight="false" outlineLevel="0" collapsed="false">
      <c r="A46" s="17" t="n">
        <v>0</v>
      </c>
      <c r="B46" s="13" t="n">
        <f aca="false">-B31</f>
        <v>-450000</v>
      </c>
      <c r="C46" s="13" t="n">
        <f aca="false">B46</f>
        <v>-450000</v>
      </c>
      <c r="D46" s="13" t="n">
        <f aca="false">B46</f>
        <v>-450000</v>
      </c>
    </row>
    <row r="47" customFormat="false" ht="15" hidden="false" customHeight="false" outlineLevel="0" collapsed="false">
      <c r="A47" s="17" t="n">
        <v>1</v>
      </c>
      <c r="B47" s="13" t="n">
        <f aca="false">IF(A47&lt;=$B$9,(($B$32+$B$33)*(1-$B$12)+$B$34)*(1-$B$10)^(A47-1)+$B$37,0)</f>
        <v>51392.9522727273</v>
      </c>
      <c r="C47" s="13" t="n">
        <f aca="false">B47/(1+$B$13)^A47</f>
        <v>48030.7965165675</v>
      </c>
      <c r="D47" s="13" t="n">
        <f aca="false">D46+B47</f>
        <v>-398607.047727273</v>
      </c>
    </row>
    <row r="48" customFormat="false" ht="15" hidden="false" customHeight="false" outlineLevel="0" collapsed="false">
      <c r="A48" s="17" t="n">
        <v>2</v>
      </c>
      <c r="B48" s="13" t="n">
        <f aca="false">IF(A48&lt;=$B$9,(($B$32+$B$33)*(1-$B$12)+$B$34)*(1-$B$10)^(A48-1)+$B$37,0)</f>
        <v>50185.0932272727</v>
      </c>
      <c r="C48" s="13" t="n">
        <f aca="false">B48/(1+$B$13)^A48</f>
        <v>43833.6040067017</v>
      </c>
      <c r="D48" s="13" t="n">
        <f aca="false">D47+B48</f>
        <v>-348421.9545</v>
      </c>
    </row>
    <row r="49" customFormat="false" ht="15" hidden="false" customHeight="false" outlineLevel="0" collapsed="false">
      <c r="A49" s="17" t="n">
        <v>3</v>
      </c>
      <c r="B49" s="13" t="n">
        <f aca="false">IF(A49&lt;=$B$9,(($B$32+$B$33)*(1-$B$12)+$B$34)*(1-$B$10)^(A49-1)+$B$37,0)</f>
        <v>49001.3913627273</v>
      </c>
      <c r="C49" s="13" t="n">
        <f aca="false">B49/(1+$B$13)^A49</f>
        <v>39999.731734092</v>
      </c>
      <c r="D49" s="13" t="n">
        <f aca="false">D48+B49</f>
        <v>-299420.563137273</v>
      </c>
    </row>
    <row r="50" customFormat="false" ht="15" hidden="false" customHeight="false" outlineLevel="0" collapsed="false">
      <c r="A50" s="17" t="n">
        <v>4</v>
      </c>
      <c r="B50" s="13" t="n">
        <f aca="false">IF(A50&lt;=$B$9,(($B$32+$B$33)*(1-$B$12)+$B$34)*(1-$B$10)^(A50-1)+$B$37,0)</f>
        <v>47841.3635354727</v>
      </c>
      <c r="C50" s="13" t="n">
        <f aca="false">B50/(1+$B$13)^A50</f>
        <v>36497.9471790372</v>
      </c>
      <c r="D50" s="13" t="n">
        <f aca="false">D49+B50</f>
        <v>-251579.1996018</v>
      </c>
    </row>
    <row r="51" customFormat="false" ht="15" hidden="false" customHeight="false" outlineLevel="0" collapsed="false">
      <c r="A51" s="17" t="n">
        <v>5</v>
      </c>
      <c r="B51" s="13" t="n">
        <f aca="false">IF(A51&lt;=$B$9,(($B$32+$B$33)*(1-$B$12)+$B$34)*(1-$B$10)^(A51-1)+$B$37,0)</f>
        <v>46704.5362647633</v>
      </c>
      <c r="C51" s="13" t="n">
        <f aca="false">B51/(1+$B$13)^A51</f>
        <v>33299.68887597</v>
      </c>
      <c r="D51" s="13" t="n">
        <f aca="false">D50+B51</f>
        <v>-204874.663337037</v>
      </c>
    </row>
    <row r="52" customFormat="false" ht="15" hidden="false" customHeight="false" outlineLevel="0" collapsed="false">
      <c r="A52" s="17" t="n">
        <v>6</v>
      </c>
      <c r="B52" s="13" t="n">
        <f aca="false">IF(A52&lt;=$B$9,(($B$32+$B$33)*(1-$B$12)+$B$34)*(1-$B$10)^(A52-1)+$B$37,0)</f>
        <v>45590.445539468</v>
      </c>
      <c r="C52" s="13" t="n">
        <f aca="false">B52/(1+$B$13)^A52</f>
        <v>30378.8388655547</v>
      </c>
      <c r="D52" s="13" t="n">
        <f aca="false">D51+B52</f>
        <v>-159284.217797569</v>
      </c>
    </row>
    <row r="53" customFormat="false" ht="15" hidden="false" customHeight="false" outlineLevel="0" collapsed="false">
      <c r="A53" s="17" t="n">
        <v>7</v>
      </c>
      <c r="B53" s="13" t="n">
        <f aca="false">IF(A53&lt;=$B$9,(($B$32+$B$33)*(1-$B$12)+$B$34)*(1-$B$10)^(A53-1)+$B$37,0)</f>
        <v>44498.6366286786</v>
      </c>
      <c r="C53" s="13" t="n">
        <f aca="false">B53/(1+$B$13)^A53</f>
        <v>27711.5144747258</v>
      </c>
      <c r="D53" s="13" t="n">
        <f aca="false">D52+B53</f>
        <v>-114785.58116889</v>
      </c>
    </row>
    <row r="54" customFormat="false" ht="15" hidden="false" customHeight="false" outlineLevel="0" collapsed="false">
      <c r="A54" s="17" t="n">
        <v>8</v>
      </c>
      <c r="B54" s="13" t="n">
        <f aca="false">IF(A54&lt;=$B$9,(($B$32+$B$33)*(1-$B$12)+$B$34)*(1-$B$10)^(A54-1)+$B$37,0)</f>
        <v>43428.6638961051</v>
      </c>
      <c r="C54" s="13" t="n">
        <f aca="false">B54/(1+$B$13)^A54</f>
        <v>25275.8777866281</v>
      </c>
      <c r="D54" s="13" t="n">
        <f aca="false">D53+B54</f>
        <v>-71356.917272785</v>
      </c>
    </row>
    <row r="55" customFormat="false" ht="15" hidden="false" customHeight="false" outlineLevel="0" collapsed="false">
      <c r="A55" s="17" t="n">
        <v>9</v>
      </c>
      <c r="B55" s="13" t="n">
        <f aca="false">IF(A55&lt;=$B$9,(($B$32+$B$33)*(1-$B$12)+$B$34)*(1-$B$10)^(A55-1)+$B$37,0)</f>
        <v>42380.090618183</v>
      </c>
      <c r="C55" s="13" t="n">
        <f aca="false">B55/(1+$B$13)^A55</f>
        <v>23051.9613010036</v>
      </c>
      <c r="D55" s="13" t="n">
        <f aca="false">D54+B55</f>
        <v>-28976.826654602</v>
      </c>
    </row>
    <row r="56" customFormat="false" ht="15" hidden="false" customHeight="false" outlineLevel="0" collapsed="false">
      <c r="A56" s="17" t="n">
        <v>10</v>
      </c>
      <c r="B56" s="13" t="n">
        <f aca="false">IF(A56&lt;=$B$9,(($B$32+$B$33)*(1-$B$12)+$B$34)*(1-$B$10)^(A56-1)+$B$37,0)</f>
        <v>41352.4888058193</v>
      </c>
      <c r="C56" s="13" t="n">
        <f aca="false">B56/(1+$B$13)^A56</f>
        <v>21021.5084124471</v>
      </c>
      <c r="D56" s="13" t="n">
        <f aca="false">D55+B56</f>
        <v>12375.6621512173</v>
      </c>
    </row>
    <row r="57" customFormat="false" ht="15" hidden="false" customHeight="false" outlineLevel="0" collapsed="false">
      <c r="A57" s="17" t="n">
        <v>11</v>
      </c>
      <c r="B57" s="13" t="n">
        <f aca="false">IF(A57&lt;=$B$9,(($B$32+$B$33)*(1-$B$12)+$B$34)*(1-$B$10)^(A57-1)+$B$37,0)</f>
        <v>40345.4390297029</v>
      </c>
      <c r="C57" s="13" t="n">
        <f aca="false">B57/(1+$B$13)^A57</f>
        <v>19167.8274501064</v>
      </c>
      <c r="D57" s="13" t="n">
        <f aca="false">D56+B57</f>
        <v>52721.1011809202</v>
      </c>
    </row>
    <row r="58" customFormat="false" ht="15" hidden="false" customHeight="false" outlineLevel="0" collapsed="false">
      <c r="A58" s="17" t="n">
        <v>12</v>
      </c>
      <c r="B58" s="13" t="n">
        <f aca="false">IF(A58&lt;=$B$9,(($B$32+$B$33)*(1-$B$12)+$B$34)*(1-$B$10)^(A58-1)+$B$37,0)</f>
        <v>39358.5302491089</v>
      </c>
      <c r="C58" s="13" t="n">
        <f aca="false">B58/(1+$B$13)^A58</f>
        <v>17475.6581287426</v>
      </c>
      <c r="D58" s="13" t="n">
        <f aca="false">D57+B58</f>
        <v>92079.631430029</v>
      </c>
    </row>
    <row r="59" customFormat="false" ht="15" hidden="false" customHeight="false" outlineLevel="0" collapsed="false">
      <c r="A59" s="17" t="n">
        <v>13</v>
      </c>
      <c r="B59" s="13" t="n">
        <f aca="false">IF(A59&lt;=$B$9,(($B$32+$B$33)*(1-$B$12)+$B$34)*(1-$B$10)^(A59-1)+$B$37,0)</f>
        <v>0</v>
      </c>
      <c r="C59" s="13" t="n">
        <f aca="false">B59/(1+$B$13)^A59</f>
        <v>0</v>
      </c>
      <c r="D59" s="13" t="n">
        <f aca="false">D58+B59</f>
        <v>92079.631430029</v>
      </c>
    </row>
    <row r="60" customFormat="false" ht="15" hidden="false" customHeight="false" outlineLevel="0" collapsed="false">
      <c r="A60" s="17" t="n">
        <v>14</v>
      </c>
      <c r="B60" s="13" t="n">
        <f aca="false">IF(A60&lt;=$B$9,(($B$32+$B$33)*(1-$B$12)+$B$34)*(1-$B$10)^(A60-1)+$B$37,0)</f>
        <v>0</v>
      </c>
      <c r="C60" s="13" t="n">
        <f aca="false">B60/(1+$B$13)^A60</f>
        <v>0</v>
      </c>
      <c r="D60" s="13" t="n">
        <f aca="false">D59+B60</f>
        <v>92079.631430029</v>
      </c>
    </row>
    <row r="61" customFormat="false" ht="15" hidden="false" customHeight="false" outlineLevel="0" collapsed="false">
      <c r="A61" s="17" t="n">
        <v>15</v>
      </c>
      <c r="B61" s="13" t="n">
        <f aca="false">IF(A61&lt;=$B$9,(($B$32+$B$33)*(1-$B$12)+$B$34)*(1-$B$10)^(A61-1)+$B$37,0)</f>
        <v>0</v>
      </c>
      <c r="C61" s="13" t="n">
        <f aca="false">B61/(1+$B$13)^A61</f>
        <v>0</v>
      </c>
      <c r="D61" s="13" t="n">
        <f aca="false">D60+B61</f>
        <v>92079.631430029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8"/>
    <col collapsed="false" customWidth="true" hidden="false" outlineLevel="0" max="3" min="3" style="0" width="24"/>
    <col collapsed="false" customWidth="true" hidden="false" outlineLevel="0" max="5" min="4" style="0" width="10"/>
  </cols>
  <sheetData>
    <row r="1" customFormat="false" ht="17.35" hidden="false" customHeight="false" outlineLevel="0" collapsed="false">
      <c r="A1" s="1" t="s">
        <v>86</v>
      </c>
    </row>
    <row r="2" customFormat="false" ht="15" hidden="false" customHeight="false" outlineLevel="0" collapsed="false">
      <c r="A2" s="4" t="s">
        <v>87</v>
      </c>
    </row>
    <row r="3" customFormat="false" ht="15" hidden="false" customHeight="false" outlineLevel="0" collapsed="false">
      <c r="A3" s="2" t="s">
        <v>88</v>
      </c>
      <c r="B3" s="18" t="s">
        <v>89</v>
      </c>
    </row>
    <row r="5" customFormat="false" ht="15" hidden="false" customHeight="false" outlineLevel="0" collapsed="false">
      <c r="A5" s="5" t="s">
        <v>90</v>
      </c>
      <c r="B5" s="5" t="s">
        <v>91</v>
      </c>
      <c r="C5" s="5" t="s">
        <v>92</v>
      </c>
      <c r="D5" s="5" t="s">
        <v>93</v>
      </c>
      <c r="E5" s="5" t="s">
        <v>94</v>
      </c>
    </row>
    <row r="6" customFormat="false" ht="15" hidden="false" customHeight="false" outlineLevel="0" collapsed="false">
      <c r="A6" s="17" t="n">
        <v>1</v>
      </c>
      <c r="B6" s="3" t="s">
        <v>95</v>
      </c>
      <c r="C6" s="18" t="s">
        <v>96</v>
      </c>
      <c r="D6" s="10" t="n">
        <v>3</v>
      </c>
      <c r="E6" s="19" t="n">
        <f aca="false">IF(C6="Ja",1,IF(C6="Unklar",0.5,0))*D6</f>
        <v>3</v>
      </c>
    </row>
    <row r="7" customFormat="false" ht="15" hidden="false" customHeight="false" outlineLevel="0" collapsed="false">
      <c r="A7" s="17" t="n">
        <v>2</v>
      </c>
      <c r="B7" s="3" t="s">
        <v>97</v>
      </c>
      <c r="C7" s="18" t="s">
        <v>96</v>
      </c>
      <c r="D7" s="10" t="n">
        <v>3</v>
      </c>
      <c r="E7" s="19" t="n">
        <f aca="false">IF(C7="Ja",1,IF(C7="Unklar",0.5,0))*D7</f>
        <v>3</v>
      </c>
    </row>
    <row r="8" customFormat="false" ht="15" hidden="false" customHeight="false" outlineLevel="0" collapsed="false">
      <c r="A8" s="17" t="n">
        <v>3</v>
      </c>
      <c r="B8" s="3" t="s">
        <v>98</v>
      </c>
      <c r="C8" s="18" t="s">
        <v>96</v>
      </c>
      <c r="D8" s="10" t="n">
        <v>2</v>
      </c>
      <c r="E8" s="19" t="n">
        <f aca="false">IF(C8="Ja",1,IF(C8="Unklar",0.5,0))*D8</f>
        <v>2</v>
      </c>
    </row>
    <row r="9" customFormat="false" ht="15" hidden="false" customHeight="false" outlineLevel="0" collapsed="false">
      <c r="A9" s="17" t="n">
        <v>4</v>
      </c>
      <c r="B9" s="3" t="s">
        <v>99</v>
      </c>
      <c r="C9" s="18" t="s">
        <v>100</v>
      </c>
      <c r="D9" s="10" t="n">
        <v>2</v>
      </c>
      <c r="E9" s="19" t="n">
        <f aca="false">IF(C9="Ja",1,IF(C9="Unklar",0.5,0))*D9</f>
        <v>1</v>
      </c>
    </row>
    <row r="10" customFormat="false" ht="15" hidden="false" customHeight="false" outlineLevel="0" collapsed="false">
      <c r="A10" s="17" t="n">
        <v>5</v>
      </c>
      <c r="B10" s="3" t="s">
        <v>101</v>
      </c>
      <c r="C10" s="18" t="s">
        <v>102</v>
      </c>
      <c r="D10" s="10" t="n">
        <v>2</v>
      </c>
      <c r="E10" s="19" t="n">
        <f aca="false">IF(C10="Ja",1,IF(C10="Unklar",0.5,0))*D10</f>
        <v>0</v>
      </c>
    </row>
    <row r="11" customFormat="false" ht="15" hidden="false" customHeight="false" outlineLevel="0" collapsed="false">
      <c r="A11" s="17" t="n">
        <v>6</v>
      </c>
      <c r="B11" s="3" t="s">
        <v>103</v>
      </c>
      <c r="C11" s="18" t="s">
        <v>96</v>
      </c>
      <c r="D11" s="10" t="n">
        <v>1</v>
      </c>
      <c r="E11" s="19" t="n">
        <f aca="false">IF(C11="Ja",1,IF(C11="Unklar",0.5,0))*D11</f>
        <v>1</v>
      </c>
    </row>
    <row r="12" customFormat="false" ht="15" hidden="false" customHeight="false" outlineLevel="0" collapsed="false">
      <c r="A12" s="17" t="n">
        <v>7</v>
      </c>
      <c r="B12" s="3" t="s">
        <v>104</v>
      </c>
      <c r="C12" s="18" t="s">
        <v>100</v>
      </c>
      <c r="D12" s="10" t="n">
        <v>2</v>
      </c>
      <c r="E12" s="19" t="n">
        <f aca="false">IF(C12="Ja",1,IF(C12="Unklar",0.5,0))*D12</f>
        <v>1</v>
      </c>
    </row>
    <row r="13" customFormat="false" ht="15" hidden="false" customHeight="false" outlineLevel="0" collapsed="false">
      <c r="A13" s="17" t="n">
        <v>8</v>
      </c>
      <c r="B13" s="3" t="s">
        <v>105</v>
      </c>
      <c r="C13" s="18" t="s">
        <v>100</v>
      </c>
      <c r="D13" s="10" t="n">
        <v>2</v>
      </c>
      <c r="E13" s="19" t="n">
        <f aca="false">IF(C13="Ja",1,IF(C13="Unklar",0.5,0))*D13</f>
        <v>1</v>
      </c>
    </row>
    <row r="14" customFormat="false" ht="15" hidden="false" customHeight="false" outlineLevel="0" collapsed="false">
      <c r="A14" s="17" t="n">
        <v>9</v>
      </c>
      <c r="B14" s="3" t="s">
        <v>106</v>
      </c>
      <c r="C14" s="18" t="s">
        <v>96</v>
      </c>
      <c r="D14" s="10" t="n">
        <v>1</v>
      </c>
      <c r="E14" s="19" t="n">
        <f aca="false">IF(C14="Ja",1,IF(C14="Unklar",0.5,0))*D14</f>
        <v>1</v>
      </c>
    </row>
    <row r="15" customFormat="false" ht="15" hidden="false" customHeight="false" outlineLevel="0" collapsed="false">
      <c r="A15" s="17" t="n">
        <v>10</v>
      </c>
      <c r="B15" s="3" t="s">
        <v>107</v>
      </c>
      <c r="C15" s="18" t="s">
        <v>96</v>
      </c>
      <c r="D15" s="10" t="n">
        <v>2</v>
      </c>
      <c r="E15" s="19" t="n">
        <f aca="false">IF(C15="Ja",1,IF(C15="Unklar",0.5,0))*D15</f>
        <v>2</v>
      </c>
    </row>
    <row r="17" customFormat="false" ht="15" hidden="false" customHeight="false" outlineLevel="0" collapsed="false">
      <c r="B17" s="2" t="s">
        <v>108</v>
      </c>
      <c r="C17" s="20" t="n">
        <f aca="false">SUM(E6:E15)</f>
        <v>15</v>
      </c>
    </row>
    <row r="18" customFormat="false" ht="15" hidden="false" customHeight="false" outlineLevel="0" collapsed="false">
      <c r="B18" s="6" t="s">
        <v>109</v>
      </c>
      <c r="C18" s="19" t="n">
        <f aca="false">SUM(D6:D15)</f>
        <v>20</v>
      </c>
    </row>
    <row r="19" customFormat="false" ht="15" hidden="false" customHeight="false" outlineLevel="0" collapsed="false">
      <c r="B19" s="2" t="s">
        <v>110</v>
      </c>
      <c r="C19" s="16" t="n">
        <f aca="false">IF(C18=0,0,C17/C18)</f>
        <v>0.75</v>
      </c>
    </row>
    <row r="20" customFormat="false" ht="15" hidden="false" customHeight="false" outlineLevel="0" collapsed="false">
      <c r="B20" s="2" t="s">
        <v>111</v>
      </c>
      <c r="C20" s="2" t="str">
        <f aca="false">IF(C19&gt;=0.7,"Heißer Lead",IF(C19&gt;=0.4,"Weiter qualifizieren","Zurückstellen"))</f>
        <v>Heißer Lead</v>
      </c>
    </row>
    <row r="21" customFormat="false" ht="15" hidden="false" customHeight="false" outlineLevel="0" collapsed="false">
      <c r="B21" s="4" t="s">
        <v>112</v>
      </c>
    </row>
  </sheetData>
  <dataValidations count="1">
    <dataValidation allowBlank="false" errorStyle="stop" operator="between" showDropDown="false" showErrorMessage="false" showInputMessage="false" sqref="C6:C15" type="list">
      <formula1>"Ja,Nein,Unklar"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5" min="4" style="0" width="18"/>
    <col collapsed="false" customWidth="true" hidden="false" outlineLevel="0" max="6" min="6" style="0" width="24"/>
    <col collapsed="false" customWidth="true" hidden="false" outlineLevel="0" max="7" min="7" style="0" width="16"/>
  </cols>
  <sheetData>
    <row r="1" customFormat="false" ht="17.35" hidden="false" customHeight="false" outlineLevel="0" collapsed="false">
      <c r="A1" s="1" t="s">
        <v>113</v>
      </c>
    </row>
    <row r="2" customFormat="false" ht="15" hidden="false" customHeight="false" outlineLevel="0" collapsed="false">
      <c r="A2" s="4" t="s">
        <v>114</v>
      </c>
    </row>
    <row r="4" customFormat="false" ht="15" hidden="false" customHeight="false" outlineLevel="0" collapsed="false">
      <c r="A4" s="2" t="s">
        <v>115</v>
      </c>
      <c r="B4" s="12" t="n">
        <v>800</v>
      </c>
    </row>
    <row r="6" customFormat="false" ht="15" hidden="false" customHeight="false" outlineLevel="0" collapsed="false">
      <c r="A6" s="5" t="s">
        <v>116</v>
      </c>
      <c r="B6" s="5" t="s">
        <v>117</v>
      </c>
      <c r="C6" s="5" t="s">
        <v>118</v>
      </c>
      <c r="D6" s="5" t="s">
        <v>119</v>
      </c>
      <c r="E6" s="5" t="s">
        <v>120</v>
      </c>
      <c r="F6" s="5" t="s">
        <v>121</v>
      </c>
      <c r="G6" s="5" t="s">
        <v>122</v>
      </c>
    </row>
    <row r="7" customFormat="false" ht="15" hidden="false" customHeight="false" outlineLevel="0" collapsed="false">
      <c r="A7" s="18" t="s">
        <v>123</v>
      </c>
      <c r="B7" s="21" t="n">
        <v>14</v>
      </c>
      <c r="C7" s="22" t="n">
        <v>600</v>
      </c>
      <c r="D7" s="10" t="n">
        <v>12</v>
      </c>
      <c r="E7" s="13" t="n">
        <f aca="false">$B$4*1000*B7/100+C7</f>
        <v>112600</v>
      </c>
      <c r="F7" s="6" t="s">
        <v>124</v>
      </c>
      <c r="G7" s="6" t="s">
        <v>124</v>
      </c>
    </row>
    <row r="8" customFormat="false" ht="15" hidden="false" customHeight="false" outlineLevel="0" collapsed="false">
      <c r="A8" s="18" t="s">
        <v>125</v>
      </c>
      <c r="B8" s="21" t="n">
        <v>12.8</v>
      </c>
      <c r="C8" s="22" t="n">
        <v>900</v>
      </c>
      <c r="D8" s="10" t="n">
        <v>24</v>
      </c>
      <c r="E8" s="13" t="n">
        <f aca="false">$B$4*1000*B8/100+C8</f>
        <v>103300</v>
      </c>
      <c r="F8" s="13" t="n">
        <f aca="false">$E$7-E8</f>
        <v>9300</v>
      </c>
      <c r="G8" s="23" t="n">
        <f aca="false">IFERROR(F8/$E$7,0)</f>
        <v>0.0825932504440497</v>
      </c>
    </row>
    <row r="9" customFormat="false" ht="15" hidden="false" customHeight="false" outlineLevel="0" collapsed="false">
      <c r="A9" s="18" t="s">
        <v>126</v>
      </c>
      <c r="B9" s="21" t="n">
        <v>12.2</v>
      </c>
      <c r="C9" s="22" t="n">
        <v>1500</v>
      </c>
      <c r="D9" s="10" t="n">
        <v>36</v>
      </c>
      <c r="E9" s="13" t="n">
        <f aca="false">$B$4*1000*B9/100+C9</f>
        <v>99100</v>
      </c>
      <c r="F9" s="13" t="n">
        <f aca="false">$E$7-E9</f>
        <v>13500</v>
      </c>
      <c r="G9" s="23" t="n">
        <f aca="false">IFERROR(F9/$E$7,0)</f>
        <v>0.119893428063943</v>
      </c>
    </row>
    <row r="10" customFormat="false" ht="15" hidden="false" customHeight="false" outlineLevel="0" collapsed="false">
      <c r="A10" s="18" t="s">
        <v>127</v>
      </c>
      <c r="B10" s="21" t="n">
        <v>13.1</v>
      </c>
      <c r="C10" s="22" t="n">
        <v>0</v>
      </c>
      <c r="D10" s="10" t="n">
        <v>12</v>
      </c>
      <c r="E10" s="13" t="n">
        <f aca="false">$B$4*1000*B10/100+C10</f>
        <v>104800</v>
      </c>
      <c r="F10" s="13" t="n">
        <f aca="false">$E$7-E10</f>
        <v>7800</v>
      </c>
      <c r="G10" s="23" t="n">
        <f aca="false">IFERROR(F10/$E$7,0)</f>
        <v>0.0692717584369449</v>
      </c>
    </row>
    <row r="12" customFormat="false" ht="15" hidden="false" customHeight="false" outlineLevel="0" collapsed="false">
      <c r="A12" s="2" t="s">
        <v>128</v>
      </c>
      <c r="B12" s="2" t="str">
        <f aca="false">INDEX(A8:A10,MATCH(MIN(E8:E10),E8:E10,0))</f>
        <v>Angebot B</v>
      </c>
    </row>
    <row r="13" customFormat="false" ht="15" hidden="false" customHeight="false" outlineLevel="0" collapsed="false">
      <c r="A13" s="2" t="s">
        <v>129</v>
      </c>
      <c r="B13" s="14" t="n">
        <f aca="false">MAX(F8:F10)</f>
        <v>13500</v>
      </c>
    </row>
    <row r="14" customFormat="false" ht="15" hidden="false" customHeight="false" outlineLevel="0" collapsed="false">
      <c r="A14" s="4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2026-10-20T15:54:20Z</dcterms:created>
  <dc:creator>openpyxl</dc:creator>
  <dc:description/>
  <dc:language>en-US</dc:language>
  <cp:lastModifiedBy/>
  <dcterms:modified xsi:type="dcterms:W3CDTF">2026-10-20T15:54:20Z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